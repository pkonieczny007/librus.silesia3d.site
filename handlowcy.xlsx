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XEN\3d\PROJEKT RAPORT\przyklady\"/>
    </mc:Choice>
  </mc:AlternateContent>
  <xr:revisionPtr revIDLastSave="0" documentId="13_ncr:1_{1E044E4A-D7B9-4620-B464-D51AE5DF62AC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Arkusz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4" i="2" l="1"/>
  <c r="A74" i="2"/>
  <c r="B69" i="2"/>
  <c r="A69" i="2"/>
  <c r="B68" i="2"/>
  <c r="A68" i="2"/>
  <c r="B66" i="2"/>
  <c r="A66" i="2"/>
  <c r="B63" i="2"/>
  <c r="A63" i="2"/>
  <c r="B62" i="2"/>
  <c r="A62" i="2"/>
  <c r="B60" i="2"/>
  <c r="A60" i="2"/>
  <c r="B57" i="2"/>
  <c r="A57" i="2"/>
  <c r="B46" i="2"/>
  <c r="A46" i="2"/>
  <c r="B41" i="2"/>
  <c r="A41" i="2"/>
  <c r="B35" i="2"/>
  <c r="A35" i="2"/>
  <c r="B34" i="2"/>
  <c r="A34" i="2"/>
  <c r="B28" i="2"/>
  <c r="A28" i="2"/>
  <c r="B23" i="2"/>
  <c r="A23" i="2"/>
  <c r="B20" i="2"/>
  <c r="A20" i="2"/>
  <c r="B19" i="2"/>
  <c r="A19" i="2"/>
  <c r="B18" i="2"/>
  <c r="A18" i="2"/>
  <c r="B16" i="2"/>
  <c r="A16" i="2"/>
  <c r="B9" i="2"/>
  <c r="A9" i="2"/>
  <c r="B8" i="2"/>
  <c r="A8" i="2"/>
  <c r="B2" i="2"/>
  <c r="A2" i="2"/>
</calcChain>
</file>

<file path=xl/sharedStrings.xml><?xml version="1.0" encoding="utf-8"?>
<sst xmlns="http://schemas.openxmlformats.org/spreadsheetml/2006/main" count="126" uniqueCount="70">
  <si>
    <t>Grupa zajęciowa</t>
  </si>
  <si>
    <t>Handlowiec</t>
  </si>
  <si>
    <t>Będzin - SP 3, gr 2</t>
  </si>
  <si>
    <t>Adam Chytry</t>
  </si>
  <si>
    <t>Będzin - SP 4, gr 1</t>
  </si>
  <si>
    <t>Będzin - SP 8, gr 1</t>
  </si>
  <si>
    <t>Będzin - SP 9, gr 1</t>
  </si>
  <si>
    <t>Biuro - zajęcia indywidualne</t>
  </si>
  <si>
    <t>BEZ HANDLOWCA, NIE LICZYMY</t>
  </si>
  <si>
    <t>Chorzów - SP 1, gr 3</t>
  </si>
  <si>
    <t>Zuzanna Olszewska</t>
  </si>
  <si>
    <t>Chorzów - SP 24, gr 1</t>
  </si>
  <si>
    <t>Chorzów - SP 29, gr 1</t>
  </si>
  <si>
    <t>Julia Młynarczyk</t>
  </si>
  <si>
    <t>Chorzów - SP 29, gr 2</t>
  </si>
  <si>
    <t>Chorzów - SP 32, gr 2</t>
  </si>
  <si>
    <t>Chorzów - SP 34, gr 1</t>
  </si>
  <si>
    <t>Chorzów - Społeczna SP, gr 2</t>
  </si>
  <si>
    <t>Dąbrowa Górnicza - SP 18, gr 1</t>
  </si>
  <si>
    <t>Dąbrowa Górnicza - SP 20, gr 1</t>
  </si>
  <si>
    <t>Dąbrowa Górnicza - SP 29, gr 1</t>
  </si>
  <si>
    <t>Dąbrowa Górnicza - SP 29, gr 2</t>
  </si>
  <si>
    <t>Dąbrowa Górnicza - SP 3, gr 1</t>
  </si>
  <si>
    <t>Dąbrowa Górnicza - SP 30, gr 1</t>
  </si>
  <si>
    <t>Dąbrowa Górnicza - SP 8, gr 1</t>
  </si>
  <si>
    <t>Dąbrowa Górnicza - SP 8, gr 2</t>
  </si>
  <si>
    <t>Katowice - Korczakowska Szkoła Marzeń, gr 2</t>
  </si>
  <si>
    <t>Katowice - Korczakowska Szkoła Marzeń, gr 3</t>
  </si>
  <si>
    <t>Katowice - SP 1, gr 1</t>
  </si>
  <si>
    <t>Katowice - SP 27, gr 2</t>
  </si>
  <si>
    <t>Katarzyna Sacawa</t>
  </si>
  <si>
    <t>Katowice - SP 27, gr 3</t>
  </si>
  <si>
    <t>Katowice - SP 27, gr 4</t>
  </si>
  <si>
    <t>Katowice - SP 32, gr 1</t>
  </si>
  <si>
    <t>Agata Bittner-Jasińska</t>
  </si>
  <si>
    <t>Katowice - SP 32, gr 2</t>
  </si>
  <si>
    <t>Katowice - SP 37, gr 1</t>
  </si>
  <si>
    <t>Katowice - SP 37, gr 2</t>
  </si>
  <si>
    <t>Katowice - SP EduHub, gr 1</t>
  </si>
  <si>
    <t>Łaziska Górne - SP 6, gr 1</t>
  </si>
  <si>
    <t>Miedźna - ZSP, gr 1</t>
  </si>
  <si>
    <t>Mikołów - SP 10, gr 1</t>
  </si>
  <si>
    <t>Mikołów - SP 3, gr 1</t>
  </si>
  <si>
    <t>Mikołów - SP 6 (Borowa Wieś), gr 1</t>
  </si>
  <si>
    <t>Orzesze - SP 2, gr 1</t>
  </si>
  <si>
    <t>Orzesze - SP 4, gr 1</t>
  </si>
  <si>
    <t>Orzesze - SP 6, gr 1</t>
  </si>
  <si>
    <t>Orzesze - SP 6, gr 2</t>
  </si>
  <si>
    <t>Orzesze - SP 7, gr 1</t>
  </si>
  <si>
    <t>Piasek - ZSP, gr 1</t>
  </si>
  <si>
    <t>Piekary Śląskie SP 13, gr 2</t>
  </si>
  <si>
    <t>Psary - ZSP 3, gr 1</t>
  </si>
  <si>
    <t>Siemianowice Śląskie - SP 4, gr 1</t>
  </si>
  <si>
    <t>Siemianowice Śląskie - SP 5, gr 2</t>
  </si>
  <si>
    <t>Sosnowiec - SP 22, gr 1</t>
  </si>
  <si>
    <t>Sosnowiec - SP 46, gr 2</t>
  </si>
  <si>
    <t>Sosnowiec - SP 9, gr 2</t>
  </si>
  <si>
    <t>Stalowa Wola - Społeczna SP, gr 1</t>
  </si>
  <si>
    <t>Stalowa Wola - Społeczna SP, gr 2</t>
  </si>
  <si>
    <t>Strzyżowice - SP, gr 1</t>
  </si>
  <si>
    <t>Strzyżowice - SP, gr 3</t>
  </si>
  <si>
    <t>Tychy - SP 22, gr 1</t>
  </si>
  <si>
    <t>Tychy - SP 22, gr 2</t>
  </si>
  <si>
    <t>Tychy - SP 3, gr 1</t>
  </si>
  <si>
    <t>Tychy - SP 35, gr 1</t>
  </si>
  <si>
    <t>Tychy - SP 35, gr 2</t>
  </si>
  <si>
    <t>Tychy - SP 6, gr 2</t>
  </si>
  <si>
    <t>Tychy - SP 9, gr 1</t>
  </si>
  <si>
    <t>Tychy - SP 9, gr 2</t>
  </si>
  <si>
    <t>Wola - SP 1, gr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</si>
</sst>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38"/>
      <scheme val="minor"/>
    </font>
    <font>
      <sz val="10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0" fillId="0" borderId="0" xfId="0" applyFont="1"/>
    <xf numFmtId="0" fontId="1" fillId="0" borderId="3" xfId="0" applyFont="1" applyBorder="1" applyAlignment="1">
      <alignment horizontal="left"/>
    </xf>
    <xf numFmtId="0" fontId="1" fillId="0" borderId="2" xfId="0" applyFont="1" applyBorder="1" applyAlignment="1">
      <alignment horizontal="left"/>
    </xf>
  </cellXfs>
  <cellStyles count="1">
    <cellStyle name="Normalny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09B8-33D7-4F8D-92D2-CE61CF41CEBD}">
  <dimension ref="A1:B84"/>
  <sheetViews>
    <sheetView tabSelected="1" topLeftCell="A55" workbookViewId="0">
      <selection activeCell="B87" sqref="B87"/>
    </sheetView>
  </sheetViews>
  <sheetFormatPr defaultRowHeight="14.4" x14ac:dyDescent="0.3"/>
  <cols>
    <col min="1" max="1" width="36.5546875" bestFit="1" customWidth="1"/>
    <col min="2" max="2" width="25.5546875" style="4" bestFit="1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s="2" t="str">
        <f ca="1">IFERROR(__xludf.DUMMYFUNCTION("""COMPUTED_VALUE"""),"Będzin - SP 11, gr 1")</f>
        <v>Będzin - SP 11, gr 1</v>
      </c>
      <c r="B2" s="2" t="str">
        <f ca="1">IFERROR(__xludf.DUMMYFUNCTION("""COMPUTED_VALUE"""),"Adam Chytry")</f>
        <v>Adam Chytry</v>
      </c>
    </row>
    <row r="3" spans="1:2" x14ac:dyDescent="0.3">
      <c r="A3" s="3" t="s">
        <v>2</v>
      </c>
      <c r="B3" s="3" t="s">
        <v>3</v>
      </c>
    </row>
    <row r="4" spans="1:2" x14ac:dyDescent="0.3">
      <c r="A4" s="3" t="s">
        <v>4</v>
      </c>
      <c r="B4" s="3" t="s">
        <v>3</v>
      </c>
    </row>
    <row r="5" spans="1:2" x14ac:dyDescent="0.3">
      <c r="A5" s="3" t="s">
        <v>5</v>
      </c>
      <c r="B5" s="3" t="s">
        <v>3</v>
      </c>
    </row>
    <row r="6" spans="1:2" x14ac:dyDescent="0.3">
      <c r="A6" s="3" t="s">
        <v>6</v>
      </c>
      <c r="B6" s="3" t="s">
        <v>3</v>
      </c>
    </row>
    <row r="7" spans="1:2" x14ac:dyDescent="0.3">
      <c r="A7" s="3" t="s">
        <v>7</v>
      </c>
      <c r="B7" s="3" t="s">
        <v>8</v>
      </c>
    </row>
    <row r="8" spans="1:2" x14ac:dyDescent="0.3">
      <c r="A8" s="3" t="str">
        <f ca="1">IFERROR(__xludf.DUMMYFUNCTION("""COMPUTED_VALUE"""),"Chorzów - SP 1, gr 1")</f>
        <v>Chorzów - SP 1, gr 1</v>
      </c>
      <c r="B8" s="3" t="str">
        <f ca="1">IFERROR(__xludf.DUMMYFUNCTION("""COMPUTED_VALUE"""),"Zuzanna Olszewska")</f>
        <v>Zuzanna Olszewska</v>
      </c>
    </row>
    <row r="9" spans="1:2" x14ac:dyDescent="0.3">
      <c r="A9" s="3" t="str">
        <f ca="1">IFERROR(__xludf.DUMMYFUNCTION("""COMPUTED_VALUE"""),"Chorzów - SP 1, gr 2")</f>
        <v>Chorzów - SP 1, gr 2</v>
      </c>
      <c r="B9" s="3" t="str">
        <f ca="1">IFERROR(__xludf.DUMMYFUNCTION("""COMPUTED_VALUE"""),"Zuzanna Olszewska")</f>
        <v>Zuzanna Olszewska</v>
      </c>
    </row>
    <row r="10" spans="1:2" x14ac:dyDescent="0.3">
      <c r="A10" s="3" t="s">
        <v>9</v>
      </c>
      <c r="B10" s="3" t="s">
        <v>10</v>
      </c>
    </row>
    <row r="11" spans="1:2" x14ac:dyDescent="0.3">
      <c r="A11" s="3" t="s">
        <v>11</v>
      </c>
      <c r="B11" s="3" t="s">
        <v>10</v>
      </c>
    </row>
    <row r="12" spans="1:2" x14ac:dyDescent="0.3">
      <c r="A12" s="3" t="s">
        <v>12</v>
      </c>
      <c r="B12" s="3" t="s">
        <v>13</v>
      </c>
    </row>
    <row r="13" spans="1:2" x14ac:dyDescent="0.3">
      <c r="A13" s="3" t="s">
        <v>14</v>
      </c>
      <c r="B13" s="3" t="s">
        <v>13</v>
      </c>
    </row>
    <row r="14" spans="1:2" x14ac:dyDescent="0.3">
      <c r="A14" s="3" t="s">
        <v>15</v>
      </c>
      <c r="B14" s="3" t="s">
        <v>10</v>
      </c>
    </row>
    <row r="15" spans="1:2" x14ac:dyDescent="0.3">
      <c r="A15" s="3" t="s">
        <v>16</v>
      </c>
      <c r="B15" s="3" t="s">
        <v>10</v>
      </c>
    </row>
    <row r="16" spans="1:2" x14ac:dyDescent="0.3">
      <c r="A16" s="3" t="str">
        <f ca="1">IFERROR(__xludf.DUMMYFUNCTION("""COMPUTED_VALUE"""),"Chorzów - Społeczna SP, gr 1")</f>
        <v>Chorzów - Społeczna SP, gr 1</v>
      </c>
      <c r="B16" s="3" t="str">
        <f ca="1">IFERROR(__xludf.DUMMYFUNCTION("""COMPUTED_VALUE"""),"Julia Młynarczyk")</f>
        <v>Julia Młynarczyk</v>
      </c>
    </row>
    <row r="17" spans="1:2" x14ac:dyDescent="0.3">
      <c r="A17" s="3" t="s">
        <v>17</v>
      </c>
      <c r="B17" s="3" t="s">
        <v>13</v>
      </c>
    </row>
    <row r="18" spans="1:2" x14ac:dyDescent="0.3">
      <c r="A18" s="3" t="str">
        <f ca="1">IFERROR(__xludf.DUMMYFUNCTION("""COMPUTED_VALUE"""),"Chorzów - Społeczna SP, gr 3")</f>
        <v>Chorzów - Społeczna SP, gr 3</v>
      </c>
      <c r="B18" s="3" t="str">
        <f ca="1">IFERROR(__xludf.DUMMYFUNCTION("""COMPUTED_VALUE"""),"Julia Młynarczyk")</f>
        <v>Julia Młynarczyk</v>
      </c>
    </row>
    <row r="19" spans="1:2" x14ac:dyDescent="0.3">
      <c r="A19" s="3" t="str">
        <f ca="1">IFERROR(__xludf.DUMMYFUNCTION("""COMPUTED_VALUE"""),"Dąbrowa Górnicza - SP 10, gr 1")</f>
        <v>Dąbrowa Górnicza - SP 10, gr 1</v>
      </c>
      <c r="B19" s="3" t="str">
        <f ca="1">IFERROR(__xludf.DUMMYFUNCTION("""COMPUTED_VALUE"""),"Adam Chytry")</f>
        <v>Adam Chytry</v>
      </c>
    </row>
    <row r="20" spans="1:2" x14ac:dyDescent="0.3">
      <c r="A20" s="3" t="str">
        <f ca="1">IFERROR(__xludf.DUMMYFUNCTION("""COMPUTED_VALUE"""),"Dąbrowa Górnicza - SP 17/ZSP 4, gr 1")</f>
        <v>Dąbrowa Górnicza - SP 17/ZSP 4, gr 1</v>
      </c>
      <c r="B20" s="3" t="str">
        <f ca="1">IFERROR(__xludf.DUMMYFUNCTION("""COMPUTED_VALUE"""),"Adam Chytry")</f>
        <v>Adam Chytry</v>
      </c>
    </row>
    <row r="21" spans="1:2" x14ac:dyDescent="0.3">
      <c r="A21" s="3" t="s">
        <v>18</v>
      </c>
      <c r="B21" s="3" t="s">
        <v>3</v>
      </c>
    </row>
    <row r="22" spans="1:2" x14ac:dyDescent="0.3">
      <c r="A22" s="3" t="s">
        <v>19</v>
      </c>
      <c r="B22" s="3" t="s">
        <v>3</v>
      </c>
    </row>
    <row r="23" spans="1:2" x14ac:dyDescent="0.3">
      <c r="A23" s="3" t="str">
        <f ca="1">IFERROR(__xludf.DUMMYFUNCTION("""COMPUTED_VALUE"""),"Dąbrowa Górnicza - SP 21, gr 1")</f>
        <v>Dąbrowa Górnicza - SP 21, gr 1</v>
      </c>
      <c r="B23" s="3" t="str">
        <f ca="1">IFERROR(__xludf.DUMMYFUNCTION("""COMPUTED_VALUE"""),"Adam Chytry")</f>
        <v>Adam Chytry</v>
      </c>
    </row>
    <row r="24" spans="1:2" x14ac:dyDescent="0.3">
      <c r="A24" s="3" t="s">
        <v>20</v>
      </c>
      <c r="B24" s="3" t="s">
        <v>3</v>
      </c>
    </row>
    <row r="25" spans="1:2" x14ac:dyDescent="0.3">
      <c r="A25" s="3" t="s">
        <v>21</v>
      </c>
      <c r="B25" s="3" t="s">
        <v>3</v>
      </c>
    </row>
    <row r="26" spans="1:2" x14ac:dyDescent="0.3">
      <c r="A26" s="3" t="s">
        <v>22</v>
      </c>
      <c r="B26" s="3" t="s">
        <v>3</v>
      </c>
    </row>
    <row r="27" spans="1:2" x14ac:dyDescent="0.3">
      <c r="A27" s="3" t="s">
        <v>23</v>
      </c>
      <c r="B27" s="3" t="s">
        <v>3</v>
      </c>
    </row>
    <row r="28" spans="1:2" x14ac:dyDescent="0.3">
      <c r="A28" s="3" t="str">
        <f ca="1">IFERROR(__xludf.DUMMYFUNCTION("""COMPUTED_VALUE"""),"Dąbrowa Górnicza - SP 30, gr 2")</f>
        <v>Dąbrowa Górnicza - SP 30, gr 2</v>
      </c>
      <c r="B28" s="3" t="str">
        <f ca="1">IFERROR(__xludf.DUMMYFUNCTION("""COMPUTED_VALUE"""),"Adam Chytry")</f>
        <v>Adam Chytry</v>
      </c>
    </row>
    <row r="29" spans="1:2" x14ac:dyDescent="0.3">
      <c r="A29" s="3" t="s">
        <v>24</v>
      </c>
      <c r="B29" s="3" t="s">
        <v>3</v>
      </c>
    </row>
    <row r="30" spans="1:2" x14ac:dyDescent="0.3">
      <c r="A30" s="3" t="s">
        <v>25</v>
      </c>
      <c r="B30" s="3" t="s">
        <v>3</v>
      </c>
    </row>
    <row r="31" spans="1:2" x14ac:dyDescent="0.3">
      <c r="A31" s="3" t="s">
        <v>26</v>
      </c>
      <c r="B31" s="3" t="s">
        <v>10</v>
      </c>
    </row>
    <row r="32" spans="1:2" x14ac:dyDescent="0.3">
      <c r="A32" s="3" t="s">
        <v>27</v>
      </c>
      <c r="B32" s="3" t="s">
        <v>10</v>
      </c>
    </row>
    <row r="33" spans="1:2" x14ac:dyDescent="0.3">
      <c r="A33" s="3" t="s">
        <v>28</v>
      </c>
      <c r="B33" s="3" t="s">
        <v>10</v>
      </c>
    </row>
    <row r="34" spans="1:2" x14ac:dyDescent="0.3">
      <c r="A34" s="3" t="str">
        <f ca="1">IFERROR(__xludf.DUMMYFUNCTION("""COMPUTED_VALUE"""),"Katowice - SP 13, gr 1")</f>
        <v>Katowice - SP 13, gr 1</v>
      </c>
      <c r="B34" s="3" t="str">
        <f ca="1">IFERROR(__xludf.DUMMYFUNCTION("""COMPUTED_VALUE"""),"Adam Chytry")</f>
        <v>Adam Chytry</v>
      </c>
    </row>
    <row r="35" spans="1:2" x14ac:dyDescent="0.3">
      <c r="A35" s="3" t="str">
        <f ca="1">IFERROR(__xludf.DUMMYFUNCTION("""COMPUTED_VALUE"""),"Katowice - SP 27, gr 1")</f>
        <v>Katowice - SP 27, gr 1</v>
      </c>
      <c r="B35" s="3" t="str">
        <f ca="1">IFERROR(__xludf.DUMMYFUNCTION("""COMPUTED_VALUE"""),"Katarzyna Sacawa")</f>
        <v>Katarzyna Sacawa</v>
      </c>
    </row>
    <row r="36" spans="1:2" x14ac:dyDescent="0.3">
      <c r="A36" s="3" t="s">
        <v>29</v>
      </c>
      <c r="B36" s="3" t="s">
        <v>30</v>
      </c>
    </row>
    <row r="37" spans="1:2" x14ac:dyDescent="0.3">
      <c r="A37" s="3" t="s">
        <v>31</v>
      </c>
      <c r="B37" s="3" t="s">
        <v>30</v>
      </c>
    </row>
    <row r="38" spans="1:2" x14ac:dyDescent="0.3">
      <c r="A38" s="3" t="s">
        <v>32</v>
      </c>
      <c r="B38" s="3" t="s">
        <v>30</v>
      </c>
    </row>
    <row r="39" spans="1:2" x14ac:dyDescent="0.3">
      <c r="A39" s="3" t="s">
        <v>33</v>
      </c>
      <c r="B39" s="3" t="s">
        <v>34</v>
      </c>
    </row>
    <row r="40" spans="1:2" x14ac:dyDescent="0.3">
      <c r="A40" s="3" t="s">
        <v>35</v>
      </c>
      <c r="B40" s="3" t="s">
        <v>34</v>
      </c>
    </row>
    <row r="41" spans="1:2" x14ac:dyDescent="0.3">
      <c r="A41" s="3" t="str">
        <f ca="1">IFERROR(__xludf.DUMMYFUNCTION("""COMPUTED_VALUE"""),"Katowice - SP 32, gr 3")</f>
        <v>Katowice - SP 32, gr 3</v>
      </c>
      <c r="B41" s="3" t="str">
        <f ca="1">IFERROR(__xludf.DUMMYFUNCTION("""COMPUTED_VALUE"""),"Agata Bittner-Jasińska")</f>
        <v>Agata Bittner-Jasińska</v>
      </c>
    </row>
    <row r="42" spans="1:2" x14ac:dyDescent="0.3">
      <c r="A42" s="3" t="s">
        <v>36</v>
      </c>
      <c r="B42" s="3" t="s">
        <v>3</v>
      </c>
    </row>
    <row r="43" spans="1:2" x14ac:dyDescent="0.3">
      <c r="A43" s="3" t="s">
        <v>37</v>
      </c>
      <c r="B43" s="3" t="s">
        <v>3</v>
      </c>
    </row>
    <row r="44" spans="1:2" x14ac:dyDescent="0.3">
      <c r="A44" s="3" t="s">
        <v>38</v>
      </c>
      <c r="B44" s="3" t="s">
        <v>30</v>
      </c>
    </row>
    <row r="45" spans="1:2" x14ac:dyDescent="0.3">
      <c r="A45" s="3" t="s">
        <v>39</v>
      </c>
      <c r="B45" s="3" t="s">
        <v>30</v>
      </c>
    </row>
    <row r="46" spans="1:2" x14ac:dyDescent="0.3">
      <c r="A46" s="3" t="str">
        <f ca="1">IFERROR(__xludf.DUMMYFUNCTION("""COMPUTED_VALUE"""),"Miedźna - SP we Frydku,  gr 1")</f>
        <v>Miedźna - SP we Frydku,  gr 1</v>
      </c>
      <c r="B46" s="3" t="str">
        <f ca="1">IFERROR(__xludf.DUMMYFUNCTION("""COMPUTED_VALUE"""),"Adam Chytry")</f>
        <v>Adam Chytry</v>
      </c>
    </row>
    <row r="47" spans="1:2" x14ac:dyDescent="0.3">
      <c r="A47" s="3" t="s">
        <v>40</v>
      </c>
      <c r="B47" s="3" t="s">
        <v>3</v>
      </c>
    </row>
    <row r="48" spans="1:2" x14ac:dyDescent="0.3">
      <c r="A48" s="3" t="s">
        <v>41</v>
      </c>
      <c r="B48" s="3" t="s">
        <v>30</v>
      </c>
    </row>
    <row r="49" spans="1:2" x14ac:dyDescent="0.3">
      <c r="A49" s="3" t="s">
        <v>42</v>
      </c>
      <c r="B49" s="3" t="s">
        <v>30</v>
      </c>
    </row>
    <row r="50" spans="1:2" x14ac:dyDescent="0.3">
      <c r="A50" s="3" t="s">
        <v>43</v>
      </c>
      <c r="B50" s="3" t="s">
        <v>30</v>
      </c>
    </row>
    <row r="51" spans="1:2" x14ac:dyDescent="0.3">
      <c r="A51" s="3" t="s">
        <v>44</v>
      </c>
      <c r="B51" s="3" t="s">
        <v>30</v>
      </c>
    </row>
    <row r="52" spans="1:2" x14ac:dyDescent="0.3">
      <c r="A52" s="3" t="s">
        <v>45</v>
      </c>
      <c r="B52" s="3" t="s">
        <v>30</v>
      </c>
    </row>
    <row r="53" spans="1:2" x14ac:dyDescent="0.3">
      <c r="A53" s="3" t="s">
        <v>46</v>
      </c>
      <c r="B53" s="3" t="s">
        <v>30</v>
      </c>
    </row>
    <row r="54" spans="1:2" x14ac:dyDescent="0.3">
      <c r="A54" s="3" t="s">
        <v>47</v>
      </c>
      <c r="B54" s="3" t="s">
        <v>30</v>
      </c>
    </row>
    <row r="55" spans="1:2" x14ac:dyDescent="0.3">
      <c r="A55" s="3" t="s">
        <v>48</v>
      </c>
      <c r="B55" s="3" t="s">
        <v>30</v>
      </c>
    </row>
    <row r="56" spans="1:2" x14ac:dyDescent="0.3">
      <c r="A56" s="3" t="s">
        <v>49</v>
      </c>
      <c r="B56" s="3" t="s">
        <v>30</v>
      </c>
    </row>
    <row r="57" spans="1:2" x14ac:dyDescent="0.3">
      <c r="A57" s="3" t="str">
        <f ca="1">IFERROR(__xludf.DUMMYFUNCTION("""COMPUTED_VALUE"""),"Piasek - ZSP, gr 2")</f>
        <v>Piasek - ZSP, gr 2</v>
      </c>
      <c r="B57" s="3" t="str">
        <f ca="1">IFERROR(__xludf.DUMMYFUNCTION("""COMPUTED_VALUE"""),"Katarzyna Sacawa")</f>
        <v>Katarzyna Sacawa</v>
      </c>
    </row>
    <row r="58" spans="1:2" x14ac:dyDescent="0.3">
      <c r="A58" s="3" t="s">
        <v>50</v>
      </c>
      <c r="B58" s="3" t="s">
        <v>3</v>
      </c>
    </row>
    <row r="59" spans="1:2" x14ac:dyDescent="0.3">
      <c r="A59" s="3" t="s">
        <v>51</v>
      </c>
      <c r="B59" s="3" t="s">
        <v>3</v>
      </c>
    </row>
    <row r="60" spans="1:2" x14ac:dyDescent="0.3">
      <c r="A60" s="3" t="str">
        <f ca="1">IFERROR(__xludf.DUMMYFUNCTION("""COMPUTED_VALUE"""),"Siemianowice Śląskie - SP 16, gr 2")</f>
        <v>Siemianowice Śląskie - SP 16, gr 2</v>
      </c>
      <c r="B60" s="3" t="str">
        <f ca="1">IFERROR(__xludf.DUMMYFUNCTION("""COMPUTED_VALUE"""),"Adam Chytry")</f>
        <v>Adam Chytry</v>
      </c>
    </row>
    <row r="61" spans="1:2" x14ac:dyDescent="0.3">
      <c r="A61" s="3" t="s">
        <v>52</v>
      </c>
      <c r="B61" s="3" t="s">
        <v>3</v>
      </c>
    </row>
    <row r="62" spans="1:2" x14ac:dyDescent="0.3">
      <c r="A62" s="3" t="str">
        <f ca="1">IFERROR(__xludf.DUMMYFUNCTION("""COMPUTED_VALUE"""),"Siemianowice Śląskie - SP 4, gr 2")</f>
        <v>Siemianowice Śląskie - SP 4, gr 2</v>
      </c>
      <c r="B62" s="3" t="str">
        <f ca="1">IFERROR(__xludf.DUMMYFUNCTION("""COMPUTED_VALUE"""),"Adam Chytry")</f>
        <v>Adam Chytry</v>
      </c>
    </row>
    <row r="63" spans="1:2" x14ac:dyDescent="0.3">
      <c r="A63" s="3" t="str">
        <f ca="1">IFERROR(__xludf.DUMMYFUNCTION("""COMPUTED_VALUE"""),"Siemianowice Śląskie - SP 5, gr 1")</f>
        <v>Siemianowice Śląskie - SP 5, gr 1</v>
      </c>
      <c r="B63" s="3" t="str">
        <f ca="1">IFERROR(__xludf.DUMMYFUNCTION("""COMPUTED_VALUE"""),"Adam Chytry")</f>
        <v>Adam Chytry</v>
      </c>
    </row>
    <row r="64" spans="1:2" x14ac:dyDescent="0.3">
      <c r="A64" s="5" t="s">
        <v>53</v>
      </c>
      <c r="B64" s="5" t="s">
        <v>3</v>
      </c>
    </row>
    <row r="65" spans="1:2" x14ac:dyDescent="0.3">
      <c r="A65" s="6" t="s">
        <v>54</v>
      </c>
      <c r="B65" s="6" t="s">
        <v>3</v>
      </c>
    </row>
    <row r="66" spans="1:2" x14ac:dyDescent="0.3">
      <c r="A66" s="6" t="str">
        <f ca="1">IFERROR(__xludf.DUMMYFUNCTION("""COMPUTED_VALUE"""),"Sosnowiec - SP 46, gr 1")</f>
        <v>Sosnowiec - SP 46, gr 1</v>
      </c>
      <c r="B66" s="6" t="str">
        <f ca="1">IFERROR(__xludf.DUMMYFUNCTION("""COMPUTED_VALUE"""),"Adam Chytry")</f>
        <v>Adam Chytry</v>
      </c>
    </row>
    <row r="67" spans="1:2" x14ac:dyDescent="0.3">
      <c r="A67" s="6" t="s">
        <v>55</v>
      </c>
      <c r="B67" s="6" t="s">
        <v>3</v>
      </c>
    </row>
    <row r="68" spans="1:2" x14ac:dyDescent="0.3">
      <c r="A68" s="6" t="str">
        <f ca="1">IFERROR(__xludf.DUMMYFUNCTION("""COMPUTED_VALUE"""),"Sosnowiec - SP 8, gr 1")</f>
        <v>Sosnowiec - SP 8, gr 1</v>
      </c>
      <c r="B68" s="6" t="str">
        <f ca="1">IFERROR(__xludf.DUMMYFUNCTION("""COMPUTED_VALUE"""),"Adam Chytry")</f>
        <v>Adam Chytry</v>
      </c>
    </row>
    <row r="69" spans="1:2" x14ac:dyDescent="0.3">
      <c r="A69" s="6" t="str">
        <f ca="1">IFERROR(__xludf.DUMMYFUNCTION("""COMPUTED_VALUE"""),"Sosnowiec - SP 9, gr 1")</f>
        <v>Sosnowiec - SP 9, gr 1</v>
      </c>
      <c r="B69" s="6" t="str">
        <f ca="1">IFERROR(__xludf.DUMMYFUNCTION("""COMPUTED_VALUE"""),"Adam Chytry")</f>
        <v>Adam Chytry</v>
      </c>
    </row>
    <row r="70" spans="1:2" x14ac:dyDescent="0.3">
      <c r="A70" s="6" t="s">
        <v>56</v>
      </c>
      <c r="B70" s="6" t="s">
        <v>3</v>
      </c>
    </row>
    <row r="71" spans="1:2" x14ac:dyDescent="0.3">
      <c r="A71" s="6" t="s">
        <v>57</v>
      </c>
      <c r="B71" s="6" t="s">
        <v>8</v>
      </c>
    </row>
    <row r="72" spans="1:2" x14ac:dyDescent="0.3">
      <c r="A72" s="6" t="s">
        <v>58</v>
      </c>
      <c r="B72" s="6" t="s">
        <v>8</v>
      </c>
    </row>
    <row r="73" spans="1:2" x14ac:dyDescent="0.3">
      <c r="A73" s="6" t="s">
        <v>59</v>
      </c>
      <c r="B73" s="6" t="s">
        <v>3</v>
      </c>
    </row>
    <row r="74" spans="1:2" x14ac:dyDescent="0.3">
      <c r="A74" s="6" t="str">
        <f ca="1">IFERROR(__xludf.DUMMYFUNCTION("""COMPUTED_VALUE"""),"Strzyżowice - SP, gr 2")</f>
        <v>Strzyżowice - SP, gr 2</v>
      </c>
      <c r="B74" s="6" t="str">
        <f ca="1">IFERROR(__xludf.DUMMYFUNCTION("""COMPUTED_VALUE"""),"Adam Chytry")</f>
        <v>Adam Chytry</v>
      </c>
    </row>
    <row r="75" spans="1:2" x14ac:dyDescent="0.3">
      <c r="A75" s="6" t="s">
        <v>60</v>
      </c>
      <c r="B75" s="6" t="s">
        <v>3</v>
      </c>
    </row>
    <row r="76" spans="1:2" x14ac:dyDescent="0.3">
      <c r="A76" s="6" t="s">
        <v>61</v>
      </c>
      <c r="B76" s="6" t="s">
        <v>30</v>
      </c>
    </row>
    <row r="77" spans="1:2" x14ac:dyDescent="0.3">
      <c r="A77" s="6" t="s">
        <v>62</v>
      </c>
      <c r="B77" s="6" t="s">
        <v>30</v>
      </c>
    </row>
    <row r="78" spans="1:2" x14ac:dyDescent="0.3">
      <c r="A78" s="6" t="s">
        <v>63</v>
      </c>
      <c r="B78" s="6" t="s">
        <v>30</v>
      </c>
    </row>
    <row r="79" spans="1:2" x14ac:dyDescent="0.3">
      <c r="A79" s="6" t="s">
        <v>64</v>
      </c>
      <c r="B79" s="6" t="s">
        <v>30</v>
      </c>
    </row>
    <row r="80" spans="1:2" x14ac:dyDescent="0.3">
      <c r="A80" s="6" t="s">
        <v>65</v>
      </c>
      <c r="B80" s="6" t="s">
        <v>30</v>
      </c>
    </row>
    <row r="81" spans="1:2" x14ac:dyDescent="0.3">
      <c r="A81" s="6" t="s">
        <v>66</v>
      </c>
      <c r="B81" s="6" t="s">
        <v>30</v>
      </c>
    </row>
    <row r="82" spans="1:2" x14ac:dyDescent="0.3">
      <c r="A82" s="6" t="s">
        <v>67</v>
      </c>
      <c r="B82" s="6" t="s">
        <v>30</v>
      </c>
    </row>
    <row r="83" spans="1:2" x14ac:dyDescent="0.3">
      <c r="A83" s="6" t="s">
        <v>68</v>
      </c>
      <c r="B83" s="6" t="s">
        <v>30</v>
      </c>
    </row>
    <row r="84" spans="1:2" x14ac:dyDescent="0.3">
      <c r="A84" s="6" t="s">
        <v>69</v>
      </c>
      <c r="B84" s="6" t="s">
        <v>3</v>
      </c>
    </row>
  </sheetData>
  <conditionalFormatting sqref="A1:A8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Bartlomiej Kucaba</dc:creator>
  <cp:lastModifiedBy>Rafał Rybak</cp:lastModifiedBy>
  <dcterms:created xsi:type="dcterms:W3CDTF">2015-06-05T18:19:34Z</dcterms:created>
  <dcterms:modified xsi:type="dcterms:W3CDTF">2025-11-04T10:32:07Z</dcterms:modified>
</cp:coreProperties>
</file>